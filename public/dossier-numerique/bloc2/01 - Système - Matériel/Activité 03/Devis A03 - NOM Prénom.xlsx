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0" documentId="13_ncr:1_{E623E759-5373-4F27-BF17-049C1E39EFB5}" xr6:coauthVersionLast="47" xr6:coauthVersionMax="47" xr10:uidLastSave="{00000000-0000-0000-0000-000000000000}"/>
  <bookViews>
    <workbookView xWindow="-120" yWindow="-120" windowWidth="29040" windowHeight="17520" xr2:uid="{00000000-000D-0000-FFFF-FFFF00000000}"/>
  </bookViews>
  <sheets>
    <sheet name="Citation" sheetId="1" r:id="rId1"/>
  </sheets>
  <definedNames>
    <definedName name="_xlnm.Print_Titles" localSheetId="0">Citation!$15:$15</definedName>
    <definedName name="Taux_TVA">Citation!$F$23</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F17" i="1"/>
  <c r="F18" i="1"/>
  <c r="F19" i="1"/>
  <c r="F20" i="1"/>
  <c r="F2" i="1"/>
  <c r="F6" i="1" s="1"/>
  <c r="F22" i="1" l="1"/>
  <c r="F24" i="1" s="1"/>
  <c r="F25" i="1" l="1"/>
</calcChain>
</file>

<file path=xl/sharedStrings.xml><?xml version="1.0" encoding="utf-8"?>
<sst xmlns="http://schemas.openxmlformats.org/spreadsheetml/2006/main" count="37" uniqueCount="36">
  <si>
    <t>Adresse de la société</t>
  </si>
  <si>
    <t>Adresse, code postal, ville</t>
  </si>
  <si>
    <t>Nom du client</t>
  </si>
  <si>
    <t>Nom de la société</t>
  </si>
  <si>
    <t>Adresse, code postal, ville, département/région</t>
  </si>
  <si>
    <t>Numéro de téléphone, de télécopie</t>
  </si>
  <si>
    <t>Commentaires ou instructions spéciales</t>
  </si>
  <si>
    <t>Aucun</t>
  </si>
  <si>
    <t>Vendeur</t>
  </si>
  <si>
    <t>Quantité</t>
  </si>
  <si>
    <t xml:space="preserve">Pour toute question concernant cette citation, contactez : </t>
  </si>
  <si>
    <t>Entrez les informations de contact client</t>
  </si>
  <si>
    <t>Nous vous remercions de votre confiance.</t>
  </si>
  <si>
    <t>BON DE COMMANDE Nombre</t>
  </si>
  <si>
    <t>Date de livraison</t>
  </si>
  <si>
    <t>Date</t>
  </si>
  <si>
    <t>Réf. client</t>
  </si>
  <si>
    <t>Date de fin de validité de la citation :</t>
  </si>
  <si>
    <t>Auteur de la proposition :</t>
  </si>
  <si>
    <t>Point d’expédition Point</t>
  </si>
  <si>
    <t>Oui</t>
  </si>
  <si>
    <t>Sous-total</t>
  </si>
  <si>
    <t>TVA</t>
  </si>
  <si>
    <t>ABC123</t>
  </si>
  <si>
    <t>Nom</t>
  </si>
  <si>
    <t>Conditions</t>
  </si>
  <si>
    <t>Dû à la réception</t>
  </si>
  <si>
    <t>Pour</t>
  </si>
  <si>
    <t>N° de devis</t>
  </si>
  <si>
    <t>Prix unitaire HT</t>
  </si>
  <si>
    <t>Montant HT</t>
  </si>
  <si>
    <t>Montant TVA</t>
  </si>
  <si>
    <t>TOTAL TTC</t>
  </si>
  <si>
    <t>Téléphone : Entrez votre numéro de téléphone ici</t>
  </si>
  <si>
    <t>Description (avec lien http)</t>
  </si>
  <si>
    <t>Article 1 ; http://lien.article.fr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</si>
</sst>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0\ &quot;€&quot;_-;\-* #,##0\ &quot;€&quot;_-;_-* &quot;-&quot;\ &quot;€&quot;_-;_-@_-"/>
    <numFmt numFmtId="44" formatCode="_-* #,##0.00\ &quot;€&quot;_-;\-* #,##0.00\ &quot;€&quot;_-;_-* &quot;-&quot;??\ &quot;€&quot;_-;_-@_-"/>
    <numFmt numFmtId="164" formatCode="_(* #,##0_);_(* \(#,##0\);_(* &quot;-&quot;_);_(@_)"/>
    <numFmt numFmtId="165" formatCode="#,##0_ ;\-#,##0\ "/>
  </numFmts>
  <fonts count="26" x14ac:knownFonts="1">
    <font>
      <sz val="11"/>
      <color theme="1"/>
      <name val="Franklin Gothic Book"/>
      <family val="2"/>
      <scheme val="minor"/>
    </font>
    <font>
      <sz val="10"/>
      <color theme="1"/>
      <name val="Franklin Gothic Book"/>
      <family val="2"/>
      <scheme val="minor"/>
    </font>
    <font>
      <sz val="10"/>
      <color theme="1"/>
      <name val="Franklin Gothic Book"/>
      <family val="2"/>
      <scheme val="minor"/>
    </font>
    <font>
      <sz val="11"/>
      <color theme="5"/>
      <name val="Franklin Gothic Book"/>
      <family val="2"/>
      <scheme val="minor"/>
    </font>
    <font>
      <b/>
      <sz val="11"/>
      <color theme="5"/>
      <name val="Franklin Gothic Book"/>
      <family val="2"/>
      <scheme val="minor"/>
    </font>
    <font>
      <sz val="10"/>
      <color theme="5"/>
      <name val="Franklin Gothic Book"/>
      <family val="2"/>
      <scheme val="minor"/>
    </font>
    <font>
      <b/>
      <sz val="10"/>
      <color theme="0"/>
      <name val="Franklin Gothic Book"/>
      <family val="2"/>
      <scheme val="minor"/>
    </font>
    <font>
      <b/>
      <sz val="10"/>
      <color theme="1"/>
      <name val="Franklin Gothic Book"/>
      <family val="2"/>
      <scheme val="minor"/>
    </font>
    <font>
      <b/>
      <sz val="12"/>
      <color theme="5"/>
      <name val="Franklin Gothic Book"/>
      <family val="2"/>
      <scheme val="minor"/>
    </font>
    <font>
      <sz val="11"/>
      <color theme="1"/>
      <name val="Franklin Gothic Book"/>
      <family val="2"/>
      <scheme val="minor"/>
    </font>
    <font>
      <sz val="18"/>
      <color theme="3"/>
      <name val="Franklin Gothic Book"/>
      <family val="2"/>
      <scheme val="major"/>
    </font>
    <font>
      <b/>
      <sz val="15"/>
      <color theme="3"/>
      <name val="Franklin Gothic Book"/>
      <family val="2"/>
      <scheme val="minor"/>
    </font>
    <font>
      <b/>
      <sz val="13"/>
      <color theme="3"/>
      <name val="Franklin Gothic Book"/>
      <family val="2"/>
      <scheme val="min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57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11"/>
      <color theme="0"/>
      <name val="Franklin Gothic Book"/>
      <family val="2"/>
      <scheme val="minor"/>
    </font>
  </fonts>
  <fills count="34">
    <fill>
      <patternFill patternType="none"/>
    </fill>
    <fill>
      <patternFill patternType="gray125"/>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theme="3"/>
      </left>
      <right style="thin">
        <color theme="3"/>
      </right>
      <top style="thin">
        <color theme="3"/>
      </top>
      <bottom style="thin">
        <color theme="5" tint="0.79998168889431442"/>
      </bottom>
      <diagonal/>
    </border>
    <border>
      <left style="thin">
        <color theme="3"/>
      </left>
      <right style="thin">
        <color theme="3"/>
      </right>
      <top style="thin">
        <color theme="5" tint="0.79998168889431442"/>
      </top>
      <bottom style="thin">
        <color theme="5" tint="0.79998168889431442"/>
      </bottom>
      <diagonal/>
    </border>
    <border>
      <left style="thin">
        <color theme="3"/>
      </left>
      <right style="thin">
        <color theme="3"/>
      </right>
      <top style="thin">
        <color theme="5" tint="0.79998168889431442"/>
      </top>
      <bottom style="thin">
        <color theme="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165" fontId="9" fillId="0" borderId="0" applyFon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9" fillId="9" borderId="11" applyNumberFormat="0" applyFont="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cellStyleXfs>
  <cellXfs count="30">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horizontal="left" vertical="center" indent="1"/>
    </xf>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left" vertical="center" wrapText="1" indent="1"/>
    </xf>
    <xf numFmtId="0" fontId="2" fillId="0" borderId="0" xfId="0" applyFont="1" applyAlignment="1">
      <alignment horizontal="left" indent="1"/>
    </xf>
    <xf numFmtId="14" fontId="2" fillId="0" borderId="0" xfId="0" applyNumberFormat="1" applyFont="1" applyAlignment="1">
      <alignment horizontal="left" indent="1"/>
    </xf>
    <xf numFmtId="0" fontId="0" fillId="0" borderId="0" xfId="0" applyAlignment="1">
      <alignment horizontal="left" vertical="center" indent="1"/>
    </xf>
    <xf numFmtId="0" fontId="0" fillId="0" borderId="0" xfId="0" applyAlignment="1">
      <alignment horizontal="left" vertical="center" wrapText="1" indent="1"/>
    </xf>
    <xf numFmtId="10" fontId="2" fillId="0" borderId="2" xfId="0" applyNumberFormat="1" applyFont="1" applyBorder="1" applyAlignment="1">
      <alignment horizontal="right" vertical="center"/>
    </xf>
    <xf numFmtId="0" fontId="3" fillId="0" borderId="0" xfId="0" applyFont="1" applyAlignment="1">
      <alignment horizontal="right" vertical="center" indent="1"/>
    </xf>
    <xf numFmtId="0" fontId="4" fillId="0" borderId="0" xfId="0" applyFont="1" applyAlignment="1">
      <alignment horizontal="right" vertical="center" indent="1"/>
    </xf>
    <xf numFmtId="0" fontId="5" fillId="0" borderId="0" xfId="0" applyFont="1"/>
    <xf numFmtId="0" fontId="5" fillId="0" borderId="0" xfId="0" applyFont="1" applyAlignment="1">
      <alignment vertical="top"/>
    </xf>
    <xf numFmtId="0" fontId="4" fillId="0" borderId="0" xfId="0" applyFont="1"/>
    <xf numFmtId="0" fontId="8" fillId="0" borderId="0" xfId="0" applyFont="1"/>
    <xf numFmtId="0" fontId="4" fillId="0" borderId="0" xfId="0" applyFont="1" applyAlignment="1">
      <alignment horizontal="right"/>
    </xf>
    <xf numFmtId="0" fontId="7" fillId="0" borderId="0" xfId="0" applyFont="1"/>
    <xf numFmtId="0" fontId="1" fillId="0" borderId="0" xfId="0" applyFont="1" applyAlignment="1">
      <alignment horizontal="left" vertical="center" wrapText="1" indent="1"/>
    </xf>
    <xf numFmtId="0" fontId="1" fillId="0" borderId="0" xfId="0" applyFont="1" applyAlignment="1">
      <alignment horizontal="left" vertical="center" indent="1"/>
    </xf>
    <xf numFmtId="14" fontId="2" fillId="0" borderId="0" xfId="0" applyNumberFormat="1" applyFont="1" applyAlignment="1">
      <alignment horizontal="left" vertical="center" indent="1"/>
    </xf>
    <xf numFmtId="44" fontId="2" fillId="0" borderId="0" xfId="0" applyNumberFormat="1" applyFont="1" applyAlignment="1">
      <alignment horizontal="left" vertical="center" wrapText="1" indent="1"/>
    </xf>
    <xf numFmtId="44" fontId="2" fillId="0" borderId="0" xfId="0" applyNumberFormat="1" applyFont="1" applyAlignment="1">
      <alignment horizontal="center" vertical="center" wrapText="1"/>
    </xf>
    <xf numFmtId="44" fontId="2" fillId="0" borderId="1" xfId="0" applyNumberFormat="1" applyFont="1" applyBorder="1" applyAlignment="1">
      <alignment horizontal="center" vertical="center"/>
    </xf>
    <xf numFmtId="44" fontId="2" fillId="0" borderId="2" xfId="0" applyNumberFormat="1" applyFont="1" applyBorder="1" applyAlignment="1">
      <alignment horizontal="center" vertical="center"/>
    </xf>
    <xf numFmtId="44" fontId="6" fillId="2" borderId="3" xfId="0" applyNumberFormat="1" applyFont="1" applyFill="1" applyBorder="1" applyAlignment="1">
      <alignment horizontal="center" vertical="center"/>
    </xf>
    <xf numFmtId="165" fontId="2" fillId="0" borderId="0" xfId="1" applyFont="1" applyAlignment="1">
      <alignment horizontal="center" vertical="center"/>
    </xf>
    <xf numFmtId="0" fontId="2" fillId="0" borderId="0" xfId="0" applyFont="1" applyAlignment="1">
      <alignment horizontal="left" vertical="top" wrapText="1" indent="1"/>
    </xf>
  </cellXfs>
  <cellStyles count="47">
    <cellStyle name="20 % - Accent1" xfId="24" builtinId="30" customBuiltin="1"/>
    <cellStyle name="20 % - Accent2" xfId="28" builtinId="34" customBuiltin="1"/>
    <cellStyle name="20 % - Accent3" xfId="32" builtinId="38" customBuiltin="1"/>
    <cellStyle name="20 % - Accent4" xfId="36" builtinId="42" customBuiltin="1"/>
    <cellStyle name="20 % - Accent5" xfId="40" builtinId="46" customBuiltin="1"/>
    <cellStyle name="20 % - Accent6" xfId="44" builtinId="50" customBuiltin="1"/>
    <cellStyle name="40 % - Accent1" xfId="25" builtinId="31" customBuiltin="1"/>
    <cellStyle name="40 % - Accent2" xfId="29" builtinId="35" customBuiltin="1"/>
    <cellStyle name="40 % - Accent3" xfId="33" builtinId="39" customBuiltin="1"/>
    <cellStyle name="40 % - Accent4" xfId="37" builtinId="43" customBuiltin="1"/>
    <cellStyle name="40 % - Accent5" xfId="41" builtinId="47" customBuiltin="1"/>
    <cellStyle name="40 % - Accent6" xfId="45" builtinId="51" customBuiltin="1"/>
    <cellStyle name="60 % - Accent1" xfId="26" builtinId="32" customBuiltin="1"/>
    <cellStyle name="60 % - Accent2" xfId="30" builtinId="36" customBuiltin="1"/>
    <cellStyle name="60 % - Accent3" xfId="34" builtinId="40" customBuiltin="1"/>
    <cellStyle name="60 % - Accent4" xfId="38" builtinId="44" customBuiltin="1"/>
    <cellStyle name="60 % - Accent5" xfId="42" builtinId="48" customBuiltin="1"/>
    <cellStyle name="60 %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Avertissement" xfId="19" builtinId="11" customBuiltin="1"/>
    <cellStyle name="Calcul" xfId="16" builtinId="22" customBuiltin="1"/>
    <cellStyle name="Cellule liée" xfId="17" builtinId="24" customBuiltin="1"/>
    <cellStyle name="Entrée" xfId="14" builtinId="20" customBuiltin="1"/>
    <cellStyle name="Insatisfaisant" xfId="12" builtinId="27" customBuiltin="1"/>
    <cellStyle name="Milliers" xfId="1" builtinId="3" customBuiltin="1"/>
    <cellStyle name="Milliers [0]" xfId="2" builtinId="6" customBuiltin="1"/>
    <cellStyle name="Monétaire" xfId="3" builtinId="4" customBuiltin="1"/>
    <cellStyle name="Monétaire [0]" xfId="4" builtinId="7" customBuiltin="1"/>
    <cellStyle name="Neutre" xfId="13" builtinId="28" customBuiltin="1"/>
    <cellStyle name="Normal" xfId="0" builtinId="0" customBuiltin="1"/>
    <cellStyle name="Note" xfId="20" builtinId="10" customBuiltin="1"/>
    <cellStyle name="Pourcentage" xfId="5" builtinId="5" customBuiltin="1"/>
    <cellStyle name="Satisfaisant" xfId="11" builtinId="26" customBuiltin="1"/>
    <cellStyle name="Sortie" xfId="15" builtinId="21" customBuiltin="1"/>
    <cellStyle name="Texte explicatif" xfId="21" builtinId="53" customBuiltin="1"/>
    <cellStyle name="Titre" xfId="6" builtinId="15" customBuiltin="1"/>
    <cellStyle name="Titre 1" xfId="7" builtinId="16" customBuiltin="1"/>
    <cellStyle name="Titre 2" xfId="8" builtinId="17" customBuiltin="1"/>
    <cellStyle name="Titre 3" xfId="9" builtinId="18" customBuiltin="1"/>
    <cellStyle name="Titre 4" xfId="10" builtinId="19" customBuiltin="1"/>
    <cellStyle name="Total" xfId="22" builtinId="25" customBuiltin="1"/>
    <cellStyle name="Vérification" xfId="18" builtinId="23" customBuiltin="1"/>
  </cellStyles>
  <dxfs count="17">
    <dxf>
      <font>
        <b val="0"/>
        <i val="0"/>
        <strike val="0"/>
        <condense val="0"/>
        <extend val="0"/>
        <outline val="0"/>
        <shadow val="0"/>
        <u val="none"/>
        <vertAlign val="baseline"/>
        <sz val="10"/>
        <color theme="1"/>
        <name val="Franklin Gothic Book"/>
        <scheme val="minor"/>
      </font>
      <numFmt numFmtId="34" formatCode="_-* #,##0.00\ &quot;€&quot;_-;\-* #,##0.00\ &quot;€&quot;_-;_-* &quot;-&quot;??\ &quot;€&quot;_-;_-@_-"/>
      <alignment horizontal="center" vertical="center" textRotation="0" wrapText="1" indent="0"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1" indent="1" justifyLastLine="0" shrinkToFit="0" readingOrder="0"/>
    </dxf>
    <dxf>
      <font>
        <b val="0"/>
        <i val="0"/>
        <strike val="0"/>
        <condense val="0"/>
        <extend val="0"/>
        <outline val="0"/>
        <shadow val="0"/>
        <u val="none"/>
        <vertAlign val="baseline"/>
        <sz val="10"/>
        <color theme="1"/>
        <name val="Franklin Gothic Book"/>
        <scheme val="minor"/>
      </font>
      <numFmt numFmtId="34" formatCode="_-* #,##0.00\ &quot;€&quot;_-;\-* #,##0.00\ &quot;€&quot;_-;_-* &quot;-&quot;??\ &quot;€&quot;_-;_-@_-"/>
      <alignment horizontal="left" vertical="center" textRotation="0" wrapText="1"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1" indent="1" justifyLastLine="0" shrinkToFit="0" readingOrder="0"/>
    </dxf>
    <dxf>
      <font>
        <b val="0"/>
        <i val="0"/>
        <strike val="0"/>
        <condense val="0"/>
        <extend val="0"/>
        <outline val="0"/>
        <shadow val="0"/>
        <u val="none"/>
        <vertAlign val="baseline"/>
        <sz val="10"/>
        <color theme="1"/>
        <name val="Franklin Gothic Book"/>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1" indent="1" justifyLastLine="0" shrinkToFit="0" readingOrder="0"/>
    </dxf>
    <dxf>
      <font>
        <b val="0"/>
        <i val="0"/>
        <strike val="0"/>
        <condense val="0"/>
        <extend val="0"/>
        <outline val="0"/>
        <shadow val="0"/>
        <u val="none"/>
        <vertAlign val="baseline"/>
        <sz val="11"/>
        <color theme="1"/>
        <name val="Franklin Gothic Book"/>
        <scheme val="minor"/>
      </font>
      <alignment horizontal="left" vertical="center" textRotation="0" wrapText="1"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scheme val="minor"/>
      </font>
      <numFmt numFmtId="19" formatCode="dd/mm/yyyy"/>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scheme val="minor"/>
      </font>
      <alignment horizontal="left" vertical="center" textRotation="0" wrapText="0" indent="1" justifyLastLine="0" shrinkToFit="0" readingOrder="0"/>
    </dxf>
    <dxf>
      <font>
        <b val="0"/>
        <i val="0"/>
        <strike val="0"/>
        <condense val="0"/>
        <extend val="0"/>
        <outline val="0"/>
        <shadow val="0"/>
        <u val="none"/>
        <vertAlign val="baseline"/>
        <sz val="11"/>
        <color theme="1"/>
        <name val="Franklin Gothic Book"/>
        <scheme val="minor"/>
      </font>
      <alignment horizontal="left" vertical="center" textRotation="0" wrapText="0" indent="1" justifyLastLine="0" shrinkToFit="0" readingOrder="0"/>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Tableau d’entreprise" pivot="0" count="3" xr9:uid="{00000000-0011-0000-FFFF-FFFF00000000}">
      <tableStyleElement type="wholeTable" dxfId="16"/>
      <tableStyleElement type="headerRow"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152399</xdr:colOff>
      <xdr:row>0</xdr:row>
      <xdr:rowOff>152400</xdr:rowOff>
    </xdr:from>
    <xdr:to>
      <xdr:col>6</xdr:col>
      <xdr:colOff>9525</xdr:colOff>
      <xdr:row>1</xdr:row>
      <xdr:rowOff>2688</xdr:rowOff>
    </xdr:to>
    <xdr:pic>
      <xdr:nvPicPr>
        <xdr:cNvPr id="3" name="Image 2" descr="Bannière de résumé" title="Banner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399" y="152400"/>
          <a:ext cx="9286876" cy="1298088"/>
        </a:xfrm>
        <a:prstGeom prst="rect">
          <a:avLst/>
        </a:prstGeom>
      </xdr:spPr>
    </xdr:pic>
    <xdr:clientData/>
  </xdr:twoCellAnchor>
  <xdr:twoCellAnchor>
    <xdr:from>
      <xdr:col>4</xdr:col>
      <xdr:colOff>366507</xdr:colOff>
      <xdr:row>0</xdr:row>
      <xdr:rowOff>266700</xdr:rowOff>
    </xdr:from>
    <xdr:to>
      <xdr:col>5</xdr:col>
      <xdr:colOff>1095375</xdr:colOff>
      <xdr:row>0</xdr:row>
      <xdr:rowOff>1143000</xdr:rowOff>
    </xdr:to>
    <xdr:sp macro="" textlink="">
      <xdr:nvSpPr>
        <xdr:cNvPr id="2" name="Zone de texte 1" descr="Devis" title="Title">
          <a:extLst>
            <a:ext uri="{FF2B5EF4-FFF2-40B4-BE49-F238E27FC236}">
              <a16:creationId xmlns:a16="http://schemas.microsoft.com/office/drawing/2014/main" id="{00000000-0008-0000-0000-000002000000}"/>
            </a:ext>
          </a:extLst>
        </xdr:cNvPr>
        <xdr:cNvSpPr txBox="1"/>
      </xdr:nvSpPr>
      <xdr:spPr>
        <a:xfrm>
          <a:off x="5395707" y="266700"/>
          <a:ext cx="1938543"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0"/>
          <a:r>
            <a:rPr lang="fr" sz="2800">
              <a:solidFill>
                <a:schemeClr val="accent4"/>
              </a:solidFill>
              <a:latin typeface="Franklin Gothic Book" panose="020B0503020102020204" pitchFamily="34" charset="0"/>
            </a:rPr>
            <a:t>Devis</a:t>
          </a:r>
        </a:p>
      </xdr:txBody>
    </xdr:sp>
    <xdr:clientData/>
  </xdr:twoCellAnchor>
  <xdr:twoCellAnchor>
    <xdr:from>
      <xdr:col>1</xdr:col>
      <xdr:colOff>0</xdr:colOff>
      <xdr:row>0</xdr:row>
      <xdr:rowOff>695827</xdr:rowOff>
    </xdr:from>
    <xdr:to>
      <xdr:col>2</xdr:col>
      <xdr:colOff>1504950</xdr:colOff>
      <xdr:row>1</xdr:row>
      <xdr:rowOff>0</xdr:rowOff>
    </xdr:to>
    <xdr:sp macro="" textlink="">
      <xdr:nvSpPr>
        <xdr:cNvPr id="8" name="Zone de texte 2" descr="Nom et slogan de la société" title="Title">
          <a:extLst>
            <a:ext uri="{FF2B5EF4-FFF2-40B4-BE49-F238E27FC236}">
              <a16:creationId xmlns:a16="http://schemas.microsoft.com/office/drawing/2014/main" id="{00000000-0008-0000-0000-000008000000}"/>
            </a:ext>
          </a:extLst>
        </xdr:cNvPr>
        <xdr:cNvSpPr txBox="1"/>
      </xdr:nvSpPr>
      <xdr:spPr>
        <a:xfrm>
          <a:off x="152400" y="695827"/>
          <a:ext cx="2714625" cy="751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rtl="0"/>
          <a:r>
            <a:rPr lang="fr" sz="1800" baseline="0">
              <a:solidFill>
                <a:schemeClr val="bg1"/>
              </a:solidFill>
              <a:latin typeface="+mj-lt"/>
            </a:rPr>
            <a:t>Nom de la société</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_Vendeur" displayName="Tableau_Vendeur" ref="B12:F13" totalsRowShown="0" headerRowDxfId="13" dataDxfId="12">
  <tableColumns count="5">
    <tableColumn id="1" xr3:uid="{00000000-0010-0000-0000-000001000000}" name="Vendeur" dataDxfId="11"/>
    <tableColumn id="2" xr3:uid="{00000000-0010-0000-0000-000002000000}" name="BON DE COMMANDE Nombre" dataDxfId="10"/>
    <tableColumn id="3" xr3:uid="{00000000-0010-0000-0000-000003000000}" name="Date de livraison" dataDxfId="9"/>
    <tableColumn id="4" xr3:uid="{00000000-0010-0000-0000-000004000000}" name="Point d’expédition Point" dataDxfId="8"/>
    <tableColumn id="5" xr3:uid="{00000000-0010-0000-0000-000005000000}" name="Conditions" dataDxfId="7"/>
  </tableColumns>
  <tableStyleInfo name="Tableau d’entrepris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au_Articles" displayName="Tableau_Articles" ref="B15:F20" totalsRowShown="0" headerRowDxfId="6" dataDxfId="5">
  <tableColumns count="5">
    <tableColumn id="1" xr3:uid="{00000000-0010-0000-0100-000001000000}" name="Quantité" dataDxfId="4" dataCellStyle="Milliers"/>
    <tableColumn id="2" xr3:uid="{00000000-0010-0000-0100-000002000000}" name="Description (avec lien http)" dataDxfId="3"/>
    <tableColumn id="3" xr3:uid="{00000000-0010-0000-0100-000003000000}" name="Prix unitaire HT" dataDxfId="2"/>
    <tableColumn id="4" xr3:uid="{00000000-0010-0000-0100-000004000000}" name="TVA" dataDxfId="1"/>
    <tableColumn id="5" xr3:uid="{00000000-0010-0000-0100-000005000000}" name="Montant HT" dataDxfId="0">
      <calculatedColumnFormula>IFERROR(IF(OR(Tableau_Articles[[#This Row],[Quantité]]="",Tableau_Articles[[#This Row],[Prix unitaire HT]]=""),"",Tableau_Articles[[#This Row],[Quantité]]*Tableau_Articles[[#This Row],[Prix unitaire HT]]),"")</calculatedColumnFormula>
    </tableColumn>
  </tableColumns>
  <tableStyleInfo name="Tableau d’entrepris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F29"/>
  <sheetViews>
    <sheetView showGridLines="0" tabSelected="1" zoomScaleNormal="100" workbookViewId="0">
      <selection activeCell="C17" sqref="C17"/>
    </sheetView>
  </sheetViews>
  <sheetFormatPr baseColWidth="10" defaultColWidth="8.77734375" defaultRowHeight="26.1" customHeight="1" x14ac:dyDescent="0.25"/>
  <cols>
    <col min="1" max="1" width="1.77734375" style="1" customWidth="1"/>
    <col min="2" max="2" width="14.109375" style="1" customWidth="1"/>
    <col min="3" max="3" width="31.109375" style="1" customWidth="1"/>
    <col min="4" max="4" width="24.5546875" style="1" customWidth="1"/>
    <col min="5" max="5" width="24.33203125" style="1" customWidth="1"/>
    <col min="6" max="6" width="14.109375" style="1" customWidth="1"/>
    <col min="7" max="7" width="1.77734375" style="1" customWidth="1"/>
    <col min="8" max="16384" width="8.77734375" style="1"/>
  </cols>
  <sheetData>
    <row r="1" spans="2:6" ht="114" customHeight="1" x14ac:dyDescent="0.25"/>
    <row r="2" spans="2:6" ht="30" customHeight="1" x14ac:dyDescent="0.3">
      <c r="B2" s="16" t="s">
        <v>0</v>
      </c>
      <c r="E2" s="18" t="s">
        <v>15</v>
      </c>
      <c r="F2" s="8">
        <f ca="1">TODAY()</f>
        <v>45910</v>
      </c>
    </row>
    <row r="3" spans="2:6" s="4" customFormat="1" ht="15.95" customHeight="1" x14ac:dyDescent="0.3">
      <c r="B3" s="3" t="s">
        <v>1</v>
      </c>
      <c r="E3" s="18" t="s">
        <v>28</v>
      </c>
      <c r="F3" s="7">
        <v>1234</v>
      </c>
    </row>
    <row r="4" spans="2:6" s="4" customFormat="1" ht="15.95" customHeight="1" x14ac:dyDescent="0.3">
      <c r="B4" s="21" t="s">
        <v>33</v>
      </c>
      <c r="E4" s="18" t="s">
        <v>16</v>
      </c>
      <c r="F4" s="7" t="s">
        <v>23</v>
      </c>
    </row>
    <row r="5" spans="2:6" ht="30" customHeight="1" x14ac:dyDescent="0.3">
      <c r="B5" s="16" t="s">
        <v>27</v>
      </c>
      <c r="E5" s="19"/>
    </row>
    <row r="6" spans="2:6" ht="15.95" customHeight="1" x14ac:dyDescent="0.3">
      <c r="B6" s="7" t="s">
        <v>2</v>
      </c>
      <c r="E6" s="18" t="s">
        <v>17</v>
      </c>
      <c r="F6" s="8">
        <f ca="1">F2+30</f>
        <v>45940</v>
      </c>
    </row>
    <row r="7" spans="2:6" ht="15.95" customHeight="1" x14ac:dyDescent="0.3">
      <c r="B7" s="7" t="s">
        <v>3</v>
      </c>
      <c r="E7" s="18" t="s">
        <v>18</v>
      </c>
      <c r="F7" s="7" t="s">
        <v>24</v>
      </c>
    </row>
    <row r="8" spans="2:6" ht="15.95" customHeight="1" x14ac:dyDescent="0.25">
      <c r="B8" s="7" t="s">
        <v>4</v>
      </c>
      <c r="E8" s="19"/>
    </row>
    <row r="9" spans="2:6" ht="15.95" customHeight="1" x14ac:dyDescent="0.25">
      <c r="B9" s="7" t="s">
        <v>5</v>
      </c>
    </row>
    <row r="10" spans="2:6" ht="30" customHeight="1" x14ac:dyDescent="0.3">
      <c r="B10" s="17" t="s">
        <v>6</v>
      </c>
    </row>
    <row r="11" spans="2:6" s="2" customFormat="1" ht="30" customHeight="1" x14ac:dyDescent="0.3">
      <c r="B11" s="29" t="s">
        <v>7</v>
      </c>
      <c r="C11" s="29"/>
      <c r="D11" s="29"/>
      <c r="E11" s="29"/>
      <c r="F11" s="29"/>
    </row>
    <row r="12" spans="2:6" s="3" customFormat="1" ht="31.5" customHeight="1" x14ac:dyDescent="0.3">
      <c r="B12" s="9" t="s">
        <v>8</v>
      </c>
      <c r="C12" s="9" t="s">
        <v>13</v>
      </c>
      <c r="D12" s="9" t="s">
        <v>14</v>
      </c>
      <c r="E12" s="9" t="s">
        <v>19</v>
      </c>
      <c r="F12" s="9" t="s">
        <v>25</v>
      </c>
    </row>
    <row r="13" spans="2:6" s="3" customFormat="1" ht="26.1" customHeight="1" x14ac:dyDescent="0.3">
      <c r="D13" s="22"/>
      <c r="F13" s="21" t="s">
        <v>26</v>
      </c>
    </row>
    <row r="15" spans="2:6" s="6" customFormat="1" ht="31.5" customHeight="1" x14ac:dyDescent="0.3">
      <c r="B15" s="10" t="s">
        <v>9</v>
      </c>
      <c r="C15" s="10" t="s">
        <v>34</v>
      </c>
      <c r="D15" s="10" t="s">
        <v>29</v>
      </c>
      <c r="E15" s="10" t="s">
        <v>22</v>
      </c>
      <c r="F15" s="10" t="s">
        <v>30</v>
      </c>
    </row>
    <row r="16" spans="2:6" s="5" customFormat="1" ht="26.1" customHeight="1" x14ac:dyDescent="0.3">
      <c r="B16" s="28">
        <v>12</v>
      </c>
      <c r="C16" s="20" t="s">
        <v>35</v>
      </c>
      <c r="D16" s="23">
        <v>34</v>
      </c>
      <c r="E16" s="6" t="s">
        <v>20</v>
      </c>
      <c r="F16" s="24">
        <f>IFERROR(IF(OR(Tableau_Articles[[#This Row],[Quantité]]="",Tableau_Articles[[#This Row],[Prix unitaire HT]]=""),"",Tableau_Articles[[#This Row],[Quantité]]*Tableau_Articles[[#This Row],[Prix unitaire HT]]),"")</f>
        <v>408</v>
      </c>
    </row>
    <row r="17" spans="2:6" s="5" customFormat="1" ht="26.1" customHeight="1" x14ac:dyDescent="0.3">
      <c r="B17" s="28"/>
      <c r="C17" s="20"/>
      <c r="D17" s="23"/>
      <c r="E17" s="6"/>
      <c r="F17" s="24" t="str">
        <f>IFERROR(IF(OR(Tableau_Articles[[#This Row],[Quantité]]="",Tableau_Articles[[#This Row],[Prix unitaire HT]]=""),"",Tableau_Articles[[#This Row],[Quantité]]*Tableau_Articles[[#This Row],[Prix unitaire HT]]),"")</f>
        <v/>
      </c>
    </row>
    <row r="18" spans="2:6" s="5" customFormat="1" ht="26.1" customHeight="1" x14ac:dyDescent="0.3">
      <c r="B18" s="28"/>
      <c r="C18" s="6"/>
      <c r="D18" s="23"/>
      <c r="E18" s="6"/>
      <c r="F18" s="24" t="str">
        <f>IFERROR(IF(OR(Tableau_Articles[[#This Row],[Quantité]]="",Tableau_Articles[[#This Row],[Prix unitaire HT]]=""),"",Tableau_Articles[[#This Row],[Quantité]]*Tableau_Articles[[#This Row],[Prix unitaire HT]]),"")</f>
        <v/>
      </c>
    </row>
    <row r="19" spans="2:6" s="5" customFormat="1" ht="26.1" customHeight="1" x14ac:dyDescent="0.3">
      <c r="B19" s="28"/>
      <c r="C19" s="6"/>
      <c r="D19" s="23"/>
      <c r="E19" s="6"/>
      <c r="F19" s="24" t="str">
        <f>IFERROR(IF(OR(Tableau_Articles[[#This Row],[Quantité]]="",Tableau_Articles[[#This Row],[Prix unitaire HT]]=""),"",Tableau_Articles[[#This Row],[Quantité]]*Tableau_Articles[[#This Row],[Prix unitaire HT]]),"")</f>
        <v/>
      </c>
    </row>
    <row r="20" spans="2:6" s="5" customFormat="1" ht="26.1" customHeight="1" x14ac:dyDescent="0.3">
      <c r="B20" s="28"/>
      <c r="C20" s="6"/>
      <c r="D20" s="23"/>
      <c r="E20" s="6"/>
      <c r="F20" s="24" t="str">
        <f>IFERROR(IF(OR(Tableau_Articles[[#This Row],[Quantité]]="",Tableau_Articles[[#This Row],[Prix unitaire HT]]=""),"",Tableau_Articles[[#This Row],[Quantité]]*Tableau_Articles[[#This Row],[Prix unitaire HT]]),"")</f>
        <v/>
      </c>
    </row>
    <row r="22" spans="2:6" s="4" customFormat="1" ht="26.1" customHeight="1" x14ac:dyDescent="0.3">
      <c r="E22" s="12" t="s">
        <v>21</v>
      </c>
      <c r="F22" s="25">
        <f>SUM(Tableau_Articles[Montant HT])</f>
        <v>408</v>
      </c>
    </row>
    <row r="23" spans="2:6" s="4" customFormat="1" ht="26.1" customHeight="1" x14ac:dyDescent="0.25">
      <c r="B23" s="14" t="s">
        <v>10</v>
      </c>
      <c r="E23" s="12" t="s">
        <v>22</v>
      </c>
      <c r="F23" s="11">
        <v>0.2</v>
      </c>
    </row>
    <row r="24" spans="2:6" s="4" customFormat="1" ht="26.1" customHeight="1" x14ac:dyDescent="0.3">
      <c r="B24" s="2" t="s">
        <v>11</v>
      </c>
      <c r="E24" s="12" t="s">
        <v>31</v>
      </c>
      <c r="F24" s="26">
        <f>F22*Taux_TVA</f>
        <v>81.600000000000009</v>
      </c>
    </row>
    <row r="25" spans="2:6" s="4" customFormat="1" ht="31.5" customHeight="1" x14ac:dyDescent="0.3">
      <c r="B25" s="15" t="s">
        <v>12</v>
      </c>
      <c r="E25" s="13" t="s">
        <v>32</v>
      </c>
      <c r="F25" s="27">
        <f>SUM(F22,F24)</f>
        <v>489.6</v>
      </c>
    </row>
    <row r="26" spans="2:6" s="4" customFormat="1" ht="26.1" customHeight="1" x14ac:dyDescent="0.3"/>
    <row r="27" spans="2:6" s="4" customFormat="1" ht="26.1" customHeight="1" x14ac:dyDescent="0.3"/>
    <row r="28" spans="2:6" s="4" customFormat="1" ht="26.1" customHeight="1" x14ac:dyDescent="0.3"/>
    <row r="29" spans="2:6" s="4" customFormat="1" ht="26.1" customHeight="1" x14ac:dyDescent="0.3"/>
  </sheetData>
  <mergeCells count="1">
    <mergeCell ref="B11:F11"/>
  </mergeCells>
  <dataValidations count="31">
    <dataValidation type="list" allowBlank="1" showInputMessage="1" showErrorMessage="1" sqref="E16:E20" xr:uid="{00000000-0002-0000-0000-000001000000}">
      <formula1>"Oui, Non"</formula1>
    </dataValidation>
    <dataValidation allowBlank="1" showInputMessage="1" showErrorMessage="1" promptTitle="Modèle de devis" prompt="_x000a_Créez un devis avec calcul de la TVA dans cette feuille de calcul. Entrez les détails de la société, du client, du devis, de l’expédition et du produit. Le total dû est calculé automatiquement." sqref="A1" xr:uid="{00000000-0002-0000-0000-000002000000}"/>
    <dataValidation allowBlank="1" showInputMessage="1" showErrorMessage="1" prompt="Entrez l’ID du client dans cette cellule." sqref="F4" xr:uid="{00000000-0002-0000-0000-000003000000}"/>
    <dataValidation allowBlank="1" showInputMessage="1" showErrorMessage="1" prompt="Entrez le numéro de devis dans cette cellule." sqref="F3" xr:uid="{00000000-0002-0000-0000-000004000000}"/>
    <dataValidation allowBlank="1" showInputMessage="1" showErrorMessage="1" prompt="Entrer la date du devis dans cette cellule." sqref="F2" xr:uid="{00000000-0002-0000-0000-000005000000}"/>
    <dataValidation allowBlank="1" showInputMessage="1" showErrorMessage="1" prompt="Entrez l’adresse complète de la société dans cette cellule." sqref="B3" xr:uid="{00000000-0002-0000-0000-000006000000}"/>
    <dataValidation allowBlank="1" showInputMessage="1" showErrorMessage="1" prompt="Entrez le numéro de téléphone et les détails de contact dans cette cellule." sqref="B4" xr:uid="{00000000-0002-0000-0000-000007000000}"/>
    <dataValidation allowBlank="1" showInputMessage="1" showErrorMessage="1" prompt="Entrez la date d’expiration du devis dans cette cellule." sqref="F6" xr:uid="{00000000-0002-0000-0000-000008000000}"/>
    <dataValidation allowBlank="1" showInputMessage="1" showErrorMessage="1" prompt="Entrez le nom de l’auteur du devis dans cette cellule." sqref="F7" xr:uid="{00000000-0002-0000-0000-000009000000}"/>
    <dataValidation allowBlank="1" showInputMessage="1" showErrorMessage="1" prompt="Entrez le nom du client dans cette cellule." sqref="B6" xr:uid="{00000000-0002-0000-0000-00000A000000}"/>
    <dataValidation allowBlank="1" showInputMessage="1" showErrorMessage="1" prompt="Entrez le nom de société du client dans cette cellule." sqref="B7" xr:uid="{00000000-0002-0000-0000-00000B000000}"/>
    <dataValidation allowBlank="1" showInputMessage="1" showErrorMessage="1" prompt="Entrez l’adresse complète de la société du client de cette cellule." sqref="B8" xr:uid="{00000000-0002-0000-0000-00000C000000}"/>
    <dataValidation allowBlank="1" showInputMessage="1" showErrorMessage="1" prompt="Entrez les détails de contact du client de cette cellule." sqref="B9" xr:uid="{00000000-0002-0000-0000-00000D000000}"/>
    <dataValidation allowBlank="1" showInputMessage="1" showErrorMessage="1" prompt="Entrer des commentaires ou des instructions spéciales dans cette cellule." sqref="B11:E11" xr:uid="{00000000-0002-0000-0000-00000E000000}"/>
    <dataValidation allowBlank="1" showInputMessage="1" showErrorMessage="1" prompt="Entrez le nom du vendeur dans la cellule ci-dessous." sqref="B12" xr:uid="{00000000-0002-0000-0000-00000F000000}"/>
    <dataValidation allowBlank="1" showInputMessage="1" showErrorMessage="1" prompt="Entrez la date d’expédition dans la cellule ci-dessous." sqref="D12" xr:uid="{00000000-0002-0000-0000-000010000000}"/>
    <dataValidation allowBlank="1" showInputMessage="1" showErrorMessage="1" prompt="Entrez le numéro de bon de commande dans la cellule ci-dessous." sqref="C12" xr:uid="{00000000-0002-0000-0000-000011000000}"/>
    <dataValidation allowBlank="1" showInputMessage="1" showErrorMessage="1" prompt="Entrez les termes du devis dans la cellule ci-dessous." sqref="F12" xr:uid="{00000000-0002-0000-0000-000012000000}"/>
    <dataValidation allowBlank="1" showInputMessage="1" showErrorMessage="1" prompt="Entrez le point franco bord (FOB) dans la cellule ci-dessous." sqref="E12" xr:uid="{00000000-0002-0000-0000-000013000000}"/>
    <dataValidation allowBlank="1" showInputMessage="1" showErrorMessage="1" prompt="Entrez la description dans cette colonne." sqref="C15" xr:uid="{00000000-0002-0000-0000-000014000000}"/>
    <dataValidation allowBlank="1" showInputMessage="1" showErrorMessage="1" prompt="Entrez la quantité dans cette colonne." sqref="B15" xr:uid="{00000000-0002-0000-0000-000015000000}"/>
    <dataValidation allowBlank="1" showInputMessage="1" showErrorMessage="1" prompt="Entrez Oui pour les articles taxables dans cette colonne." sqref="E15" xr:uid="{00000000-0002-0000-0000-000016000000}"/>
    <dataValidation allowBlank="1" showInputMessage="1" showErrorMessage="1" prompt="Le montant est calculé automatiquement dans cette colonne sous cet en-tête, et le sous-total est calculé automatiquement à la fin." sqref="F15" xr:uid="{00000000-0002-0000-0000-000017000000}"/>
    <dataValidation allowBlank="1" showInputMessage="1" showErrorMessage="1" prompt="Entrez le prix unitaire dans cette colonne." sqref="D15" xr:uid="{00000000-0002-0000-0000-000018000000}"/>
    <dataValidation allowBlank="1" showInputMessage="1" showErrorMessage="1" prompt="Entrez le taux de TVA dans la cellule à droite." sqref="E23" xr:uid="{00000000-0002-0000-0000-000019000000}"/>
    <dataValidation allowBlank="1" showInputMessage="1" showErrorMessage="1" prompt="Le montant de TVA est calculé automatiquement dans la cellule à droite." sqref="E24" xr:uid="{00000000-0002-0000-0000-00001A000000}"/>
    <dataValidation allowBlank="1" showInputMessage="1" showErrorMessage="1" prompt="Le total dû est calculé automatiquement dans la cellule à droite." sqref="E25" xr:uid="{00000000-0002-0000-0000-00001C000000}"/>
    <dataValidation allowBlank="1" showInputMessage="1" showErrorMessage="1" prompt="Entrer des détails de contact supplémentaires de cette cellule." sqref="B24" xr:uid="{00000000-0002-0000-0000-00001D000000}"/>
    <dataValidation allowBlank="1" showInputMessage="1" showErrorMessage="1" prompt="Entrez le taux de TVA dans cette cellule." sqref="F23" xr:uid="{00000000-0002-0000-0000-00001E000000}"/>
    <dataValidation allowBlank="1" showInputMessage="1" showErrorMessage="1" prompt="Le montant de TVA est calculé automatiquement dans cette cellule." sqref="F24" xr:uid="{00000000-0002-0000-0000-00001F000000}"/>
    <dataValidation allowBlank="1" showInputMessage="1" showErrorMessage="1" prompt="Le total dû est calculé automatiquement dans cette cellule." sqref="F25" xr:uid="{00000000-0002-0000-0000-000021000000}"/>
  </dataValidations>
  <printOptions horizontalCentered="1"/>
  <pageMargins left="0.25" right="0.25" top="0.25" bottom="0.75" header="0.3" footer="0.3"/>
  <pageSetup paperSize="9" orientation="portrait"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E0E77304C5B84BA04FC01E48577340" ma:contentTypeVersion="3" ma:contentTypeDescription="Crée un document." ma:contentTypeScope="" ma:versionID="d7a01a13de8f08941e83e42baeff74e3">
  <xsd:schema xmlns:xsd="http://www.w3.org/2001/XMLSchema" xmlns:xs="http://www.w3.org/2001/XMLSchema" xmlns:p="http://schemas.microsoft.com/office/2006/metadata/properties" xmlns:ns2="dabbdb26-c847-4137-b7a9-f9e59693dbb0" targetNamespace="http://schemas.microsoft.com/office/2006/metadata/properties" ma:root="true" ma:fieldsID="9cf93ec03c9ca8a6baede4d198a93ac1" ns2:_="">
    <xsd:import namespace="dabbdb26-c847-4137-b7a9-f9e59693dbb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bdb26-c847-4137-b7a9-f9e59693db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21DFDB-9131-4336-BB9A-5B7FFEA41F63}">
  <ds:schemaRefs>
    <ds:schemaRef ds:uri="http://schemas.microsoft.com/sharepoint/v3/contenttype/forms"/>
  </ds:schemaRefs>
</ds:datastoreItem>
</file>

<file path=customXml/itemProps2.xml><?xml version="1.0" encoding="utf-8"?>
<ds:datastoreItem xmlns:ds="http://schemas.openxmlformats.org/officeDocument/2006/customXml" ds:itemID="{45A9556B-072F-4D4B-8663-90DEF0E88F5D}"/>
</file>

<file path=customXml/itemProps3.xml><?xml version="1.0" encoding="utf-8"?>
<ds:datastoreItem xmlns:ds="http://schemas.openxmlformats.org/officeDocument/2006/customXml" ds:itemID="{49B3B314-6F37-4B5B-91DC-91848E4E7F4B}">
  <ds:schemaRefs>
    <ds:schemaRef ds:uri="http://purl.org/dc/elements/1.1/"/>
    <ds:schemaRef ds:uri="http://purl.org/dc/terms/"/>
    <ds:schemaRef ds:uri="6dc4bcd6-49db-4c07-9060-8acfc67cef9f"/>
    <ds:schemaRef ds:uri="http://purl.org/dc/dcmitype/"/>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fb0879af-3eba-417a-a55a-ffe6dcd6ca77"/>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Citation</vt:lpstr>
      <vt:lpstr>Citation!Impression_des_titres</vt:lpstr>
      <vt:lpstr>Taux_TVA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2018-08-22T05:04:47Z</dcterms:created>
  <dcterms:modified xsi:type="dcterms:W3CDTF">2025-09-10T20:02:48Z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0x010100CFE0E77304C5B84BA04FC01E48577340</vt:lpwstr>
  </property>
</Properties>
</file>